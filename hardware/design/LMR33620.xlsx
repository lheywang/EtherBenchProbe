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therBenchProbe\hardware\design\"/>
    </mc:Choice>
  </mc:AlternateContent>
  <xr:revisionPtr revIDLastSave="0" documentId="8_{3A25A408-4CB2-40D0-AFE2-D847154D9D4D}" xr6:coauthVersionLast="47" xr6:coauthVersionMax="47" xr10:uidLastSave="{00000000-0000-0000-0000-000000000000}"/>
  <bookViews>
    <workbookView xWindow="-120" yWindow="-120" windowWidth="38640" windowHeight="15720" xr2:uid="{D7901F08-12FD-4327-ABE4-13267D3990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7" i="1"/>
  <c r="F16" i="1"/>
  <c r="F14" i="1"/>
  <c r="F13" i="1"/>
  <c r="F11" i="1"/>
  <c r="F10" i="1"/>
  <c r="F8" i="1"/>
  <c r="F7" i="1"/>
  <c r="H5" i="1"/>
  <c r="H4" i="1"/>
  <c r="F5" i="1"/>
  <c r="F4" i="1"/>
  <c r="J11" i="1" l="1"/>
  <c r="J10" i="1"/>
</calcChain>
</file>

<file path=xl/sharedStrings.xml><?xml version="1.0" encoding="utf-8"?>
<sst xmlns="http://schemas.openxmlformats.org/spreadsheetml/2006/main" count="44" uniqueCount="40">
  <si>
    <t>Fsw</t>
  </si>
  <si>
    <t>Iout33</t>
  </si>
  <si>
    <t>Iout50</t>
  </si>
  <si>
    <t>Vin</t>
  </si>
  <si>
    <t>Vout33</t>
  </si>
  <si>
    <t>Vout50</t>
  </si>
  <si>
    <t>Rfbb33</t>
  </si>
  <si>
    <t>Rfbt</t>
  </si>
  <si>
    <t>Vref</t>
  </si>
  <si>
    <t>Rfbb50</t>
  </si>
  <si>
    <t>Theorical</t>
  </si>
  <si>
    <t>Normal</t>
  </si>
  <si>
    <t>Vout</t>
  </si>
  <si>
    <t>L33</t>
  </si>
  <si>
    <t>L50</t>
  </si>
  <si>
    <t>Cout33</t>
  </si>
  <si>
    <t>Cout50</t>
  </si>
  <si>
    <t>DVout33</t>
  </si>
  <si>
    <t>DVout50</t>
  </si>
  <si>
    <t>uF</t>
  </si>
  <si>
    <t>ESR33</t>
  </si>
  <si>
    <t>ESR50</t>
  </si>
  <si>
    <t>mOhm</t>
  </si>
  <si>
    <t>Vrip33</t>
  </si>
  <si>
    <t>Vrip50</t>
  </si>
  <si>
    <t>mV</t>
  </si>
  <si>
    <t>10uF</t>
  </si>
  <si>
    <t>Cff33</t>
  </si>
  <si>
    <t>Cff50</t>
  </si>
  <si>
    <t>&lt; 11pF</t>
  </si>
  <si>
    <t>&lt;37pF</t>
  </si>
  <si>
    <t>2.2pF</t>
  </si>
  <si>
    <t>Von</t>
  </si>
  <si>
    <t>Renb</t>
  </si>
  <si>
    <t>Rent33</t>
  </si>
  <si>
    <t>Venh</t>
  </si>
  <si>
    <t>Venhhys</t>
  </si>
  <si>
    <t>Voff33</t>
  </si>
  <si>
    <t>V</t>
  </si>
  <si>
    <t>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</si>
</sst>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B656-881F-4AB0-9590-8D78D439EFAF}">
  <dimension ref="A2:K20"/>
  <sheetViews>
    <sheetView tabSelected="1" workbookViewId="0">
      <selection activeCell="G20" sqref="G20"/>
    </sheetView>
  </sheetViews>
  <sheetFormatPr baseColWidth="10" defaultRowHeight="15" x14ac:dyDescent="0.25"/>
  <cols>
    <col min="6" max="6" width="12" bestFit="1" customWidth="1"/>
  </cols>
  <sheetData>
    <row r="2" spans="1:11" x14ac:dyDescent="0.25">
      <c r="A2" t="s">
        <v>0</v>
      </c>
      <c r="B2">
        <v>1000000</v>
      </c>
    </row>
    <row r="3" spans="1:11" x14ac:dyDescent="0.25">
      <c r="A3" t="s">
        <v>1</v>
      </c>
      <c r="B3">
        <v>1.5</v>
      </c>
      <c r="F3" t="s">
        <v>10</v>
      </c>
      <c r="G3" t="s">
        <v>11</v>
      </c>
      <c r="H3" t="s">
        <v>12</v>
      </c>
    </row>
    <row r="4" spans="1:11" x14ac:dyDescent="0.25">
      <c r="A4" t="s">
        <v>2</v>
      </c>
      <c r="B4">
        <v>1.5</v>
      </c>
      <c r="E4" t="s">
        <v>6</v>
      </c>
      <c r="F4">
        <f>$B$8/(B6/B9-1)</f>
        <v>43478.260869565223</v>
      </c>
      <c r="G4">
        <v>43000</v>
      </c>
      <c r="H4">
        <f>$B$9*($B$8/G4+1)</f>
        <v>3.3255813953488373</v>
      </c>
    </row>
    <row r="5" spans="1:11" x14ac:dyDescent="0.25">
      <c r="A5" t="s">
        <v>3</v>
      </c>
      <c r="B5">
        <v>20</v>
      </c>
      <c r="E5" t="s">
        <v>9</v>
      </c>
      <c r="F5">
        <f>$B$8/(B7/$B$9-1)</f>
        <v>25000</v>
      </c>
      <c r="G5">
        <v>24900</v>
      </c>
      <c r="H5">
        <f>$B$9*($B$8/G5+1)</f>
        <v>5.0160642570281126</v>
      </c>
    </row>
    <row r="6" spans="1:11" x14ac:dyDescent="0.25">
      <c r="A6" t="s">
        <v>4</v>
      </c>
      <c r="B6">
        <v>3.3</v>
      </c>
    </row>
    <row r="7" spans="1:11" x14ac:dyDescent="0.25">
      <c r="A7" t="s">
        <v>5</v>
      </c>
      <c r="B7">
        <v>5</v>
      </c>
      <c r="E7" t="s">
        <v>13</v>
      </c>
      <c r="F7">
        <f>(($B$5-B6)/($B$2*0.3*B3))*(B6/$B$5)</f>
        <v>6.123333333333332E-6</v>
      </c>
      <c r="G7" s="1" t="s">
        <v>19</v>
      </c>
    </row>
    <row r="8" spans="1:11" x14ac:dyDescent="0.25">
      <c r="A8" t="s">
        <v>7</v>
      </c>
      <c r="B8">
        <v>100000</v>
      </c>
      <c r="E8" t="s">
        <v>14</v>
      </c>
      <c r="F8">
        <f>(($B$5-B7)/($B$2*0.3*B4))*(B7/$B$5)</f>
        <v>8.3333333333333337E-6</v>
      </c>
      <c r="G8" s="1" t="s">
        <v>19</v>
      </c>
    </row>
    <row r="9" spans="1:11" x14ac:dyDescent="0.25">
      <c r="A9" t="s">
        <v>8</v>
      </c>
      <c r="B9">
        <v>1</v>
      </c>
    </row>
    <row r="10" spans="1:11" x14ac:dyDescent="0.25">
      <c r="A10" t="s">
        <v>17</v>
      </c>
      <c r="B10">
        <v>1E-3</v>
      </c>
      <c r="E10" t="s">
        <v>15</v>
      </c>
      <c r="F10">
        <f>(B3/($B$2*B10*0.3))*((1-B6/$B$5)*(1+0.3)*(((0.3*0.3)/(12))*(2-B6/$B$5)))</f>
        <v>7.4695968749999994E-5</v>
      </c>
      <c r="G10" t="s">
        <v>26</v>
      </c>
      <c r="I10" t="s">
        <v>23</v>
      </c>
      <c r="J10">
        <f>B3*SQRT((F13*F13)+(1/((8*$B$2*F10)*(8*$B$2*F10))))</f>
        <v>2.6578288454681908E-3</v>
      </c>
      <c r="K10" t="s">
        <v>25</v>
      </c>
    </row>
    <row r="11" spans="1:11" x14ac:dyDescent="0.25">
      <c r="A11" t="s">
        <v>18</v>
      </c>
      <c r="B11">
        <v>5.0000000000000001E-3</v>
      </c>
      <c r="E11" t="s">
        <v>16</v>
      </c>
      <c r="F11">
        <f>(B4/($B$2*B11*0.3))*((1-B7/$B$5)*(1+0.3)*(((0.3*0.3)/(12))*(2-B7/$B$5)))</f>
        <v>1.2796875000000001E-5</v>
      </c>
      <c r="G11" t="s">
        <v>26</v>
      </c>
      <c r="I11" t="s">
        <v>24</v>
      </c>
      <c r="J11">
        <f>B4*SQRT((F14*F14)+(1/((8*$B$2*F11)*(8*$B$2*F11))))</f>
        <v>1.5288194075056208E-2</v>
      </c>
      <c r="K11" t="s">
        <v>25</v>
      </c>
    </row>
    <row r="13" spans="1:11" x14ac:dyDescent="0.25">
      <c r="A13" t="s">
        <v>32</v>
      </c>
      <c r="B13">
        <v>4.5</v>
      </c>
      <c r="E13" t="s">
        <v>20</v>
      </c>
      <c r="F13">
        <f>((2+0.3)*B10)/(2*B3*(1+0.3+((0.3*0.3)/12)*(1+(1/(1-(B6/$B$5))))))</f>
        <v>5.8236014297464588E-4</v>
      </c>
      <c r="G13" t="s">
        <v>22</v>
      </c>
    </row>
    <row r="14" spans="1:11" x14ac:dyDescent="0.25">
      <c r="A14" t="s">
        <v>33</v>
      </c>
      <c r="B14">
        <v>68000</v>
      </c>
      <c r="E14" t="s">
        <v>21</v>
      </c>
      <c r="F14">
        <f>((2+0.3)*B11)/(2*B4*(1+0.3+((0.3*0.3)/12)*(1+(1/(1-(B7/$B$5))))))</f>
        <v>2.9095509171410496E-3</v>
      </c>
      <c r="G14" t="s">
        <v>22</v>
      </c>
    </row>
    <row r="15" spans="1:11" x14ac:dyDescent="0.25">
      <c r="A15" t="s">
        <v>35</v>
      </c>
      <c r="B15">
        <v>1.2310000000000001</v>
      </c>
    </row>
    <row r="16" spans="1:11" x14ac:dyDescent="0.25">
      <c r="A16" t="s">
        <v>36</v>
      </c>
      <c r="B16">
        <v>0.1</v>
      </c>
      <c r="E16" t="s">
        <v>27</v>
      </c>
      <c r="F16">
        <f>(B6*F10)/(120*$B$8*SQRT($B$9/B6))</f>
        <v>3.7315290578872782E-11</v>
      </c>
      <c r="G16" t="s">
        <v>30</v>
      </c>
      <c r="H16" t="s">
        <v>31</v>
      </c>
    </row>
    <row r="17" spans="5:7" x14ac:dyDescent="0.25">
      <c r="E17" t="s">
        <v>28</v>
      </c>
      <c r="F17">
        <f>(B7*F11)/(120*$B$8*SQRT($B$9/B7))</f>
        <v>1.1922784333153178E-11</v>
      </c>
      <c r="G17" t="s">
        <v>29</v>
      </c>
    </row>
    <row r="19" spans="5:7" x14ac:dyDescent="0.25">
      <c r="E19" t="s">
        <v>34</v>
      </c>
      <c r="F19">
        <f>(B13/B15-1)*B14</f>
        <v>180578.39155158406</v>
      </c>
      <c r="G19" t="s">
        <v>39</v>
      </c>
    </row>
    <row r="20" spans="5:7" x14ac:dyDescent="0.25">
      <c r="E20" t="s">
        <v>37</v>
      </c>
      <c r="F20">
        <f>B13*(1-B16/B15)</f>
        <v>4.134443541835906</v>
      </c>
      <c r="G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Léonard HEYWANG</dc:creator>
  <cp:lastModifiedBy>Léonard HEYWANG</cp:lastModifiedBy>
  <dcterms:created xsi:type="dcterms:W3CDTF">2026-05-26T19:13:09Z</dcterms:created>
  <dcterms:modified xsi:type="dcterms:W3CDTF">2026-05-26T19:49:19Z</dcterms:modified>
</cp:coreProperties>
</file>